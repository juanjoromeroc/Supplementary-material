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 Jose Romero\Desktop\Supplementary short\"/>
    </mc:Choice>
  </mc:AlternateContent>
  <xr:revisionPtr revIDLastSave="0" documentId="13_ncr:1_{AEB3D456-98D4-473B-AC5A-2192A627F69A}" xr6:coauthVersionLast="47" xr6:coauthVersionMax="47" xr10:uidLastSave="{00000000-0000-0000-0000-000000000000}"/>
  <bookViews>
    <workbookView xWindow="1152" yWindow="1152" windowWidth="17280" windowHeight="8964" xr2:uid="{03F54B55-DF2D-4053-B4F9-3DC279CE0764}"/>
  </bookViews>
  <sheets>
    <sheet name="Multiple Column" sheetId="2" r:id="rId1"/>
  </sheets>
  <functionGroups builtInGroupCount="19"/>
  <definedNames>
    <definedName name="_xlnm._FilterDatabase" localSheetId="0" hidden="1">'Multiple Column'!$A$2:$G$47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" l="1"/>
  <c r="C60" i="2"/>
  <c r="C28" i="2"/>
  <c r="C46" i="2"/>
  <c r="C36" i="2"/>
  <c r="C37" i="2"/>
  <c r="C44" i="2"/>
  <c r="C50" i="2"/>
  <c r="C51" i="2"/>
  <c r="C52" i="2"/>
  <c r="C53" i="2"/>
  <c r="C54" i="2"/>
  <c r="C55" i="2"/>
  <c r="E66" i="2"/>
  <c r="E62" i="2"/>
  <c r="C38" i="2" l="1"/>
  <c r="C56" i="2"/>
  <c r="C45" i="2"/>
  <c r="N24" i="2"/>
  <c r="N25" i="2"/>
  <c r="N26" i="2"/>
  <c r="C14" i="2" l="1"/>
  <c r="O18" i="2" l="1"/>
  <c r="N18" i="2"/>
  <c r="O12" i="2"/>
  <c r="O11" i="2"/>
  <c r="M11" i="2"/>
  <c r="O13" i="2"/>
  <c r="O14" i="2"/>
  <c r="O15" i="2"/>
  <c r="O16" i="2"/>
  <c r="M16" i="2"/>
  <c r="O17" i="2"/>
  <c r="M17" i="2"/>
  <c r="O19" i="2"/>
  <c r="M19" i="2"/>
  <c r="O20" i="2"/>
  <c r="M20" i="2"/>
  <c r="O21" i="2"/>
  <c r="O22" i="2"/>
  <c r="O23" i="2"/>
  <c r="O24" i="2"/>
  <c r="O25" i="2"/>
  <c r="O26" i="2"/>
  <c r="N22" i="2"/>
  <c r="N23" i="2"/>
  <c r="N21" i="2"/>
  <c r="N17" i="2"/>
  <c r="N19" i="2"/>
  <c r="N20" i="2"/>
  <c r="N16" i="2"/>
  <c r="N15" i="2"/>
  <c r="N14" i="2"/>
  <c r="N13" i="2"/>
  <c r="N12" i="2"/>
  <c r="N11" i="2"/>
  <c r="K65" i="2" l="1"/>
  <c r="E63" i="2" l="1"/>
  <c r="E65" i="2"/>
  <c r="E67" i="2"/>
  <c r="E68" i="2"/>
  <c r="E69" i="2"/>
  <c r="E70" i="2"/>
  <c r="E71" i="2"/>
  <c r="E72" i="2"/>
  <c r="E73" i="2"/>
  <c r="E74" i="2" l="1"/>
  <c r="E75" i="2" s="1"/>
  <c r="C16" i="2"/>
  <c r="C20" i="2"/>
  <c r="C31" i="2" l="1"/>
  <c r="C4" i="2"/>
  <c r="C21" i="2"/>
  <c r="C22" i="2"/>
  <c r="M26" i="2"/>
  <c r="M24" i="2"/>
  <c r="M25" i="2"/>
  <c r="M23" i="2"/>
  <c r="M22" i="2"/>
  <c r="M15" i="2"/>
  <c r="M14" i="2"/>
  <c r="C5" i="2"/>
  <c r="C23" i="2" l="1"/>
  <c r="I31" i="2"/>
  <c r="C11" i="2" l="1"/>
  <c r="C9" i="2"/>
  <c r="H11" i="2"/>
  <c r="I28" i="2"/>
  <c r="M12" i="2"/>
  <c r="C41" i="2" l="1"/>
  <c r="M21" i="2" s="1"/>
  <c r="C30" i="2"/>
  <c r="M13" i="2" s="1"/>
  <c r="M18" i="2"/>
</calcChain>
</file>

<file path=xl/sharedStrings.xml><?xml version="1.0" encoding="utf-8"?>
<sst xmlns="http://schemas.openxmlformats.org/spreadsheetml/2006/main" count="391" uniqueCount="154">
  <si>
    <t>LOAD-1</t>
  </si>
  <si>
    <t>P-1</t>
  </si>
  <si>
    <t>File</t>
  </si>
  <si>
    <t>Cin</t>
  </si>
  <si>
    <t>width</t>
  </si>
  <si>
    <t>height</t>
  </si>
  <si>
    <t>fracret</t>
  </si>
  <si>
    <t>Washing time</t>
  </si>
  <si>
    <t>Regeneration time</t>
  </si>
  <si>
    <t>Elution time</t>
  </si>
  <si>
    <t>Equilibration time</t>
  </si>
  <si>
    <t>Washing flowvel</t>
  </si>
  <si>
    <t>Regeneration flowvel</t>
  </si>
  <si>
    <t>equilibration flowvel</t>
  </si>
  <si>
    <t>elution flowvel</t>
  </si>
  <si>
    <t>Parameter</t>
  </si>
  <si>
    <t>Origin</t>
  </si>
  <si>
    <t>Value</t>
  </si>
  <si>
    <t>Status</t>
  </si>
  <si>
    <t>MATLAB</t>
  </si>
  <si>
    <t>MATLAB/FREEFEM</t>
  </si>
  <si>
    <t>CALCULATED</t>
  </si>
  <si>
    <t>m</t>
  </si>
  <si>
    <t>Input Variable</t>
  </si>
  <si>
    <t>output variable</t>
  </si>
  <si>
    <t>Operation</t>
  </si>
  <si>
    <t>Process Name</t>
  </si>
  <si>
    <t>colum heigt</t>
  </si>
  <si>
    <t>Units</t>
  </si>
  <si>
    <t>%</t>
  </si>
  <si>
    <t>h</t>
  </si>
  <si>
    <t>-</t>
  </si>
  <si>
    <t>m/h</t>
  </si>
  <si>
    <t>kg</t>
  </si>
  <si>
    <t>Washing BV</t>
  </si>
  <si>
    <t>Regeneration BV</t>
  </si>
  <si>
    <t>Equilibrium BV</t>
  </si>
  <si>
    <t>WASH-1</t>
  </si>
  <si>
    <t>ELUTE-1</t>
  </si>
  <si>
    <t>REGENERATE-1</t>
  </si>
  <si>
    <t>Input Fixed parameter</t>
  </si>
  <si>
    <t>cycle time</t>
  </si>
  <si>
    <t>SUPERPRO</t>
  </si>
  <si>
    <t>mass%</t>
  </si>
  <si>
    <t>Water</t>
  </si>
  <si>
    <t>Cin water</t>
  </si>
  <si>
    <t>C-101</t>
  </si>
  <si>
    <t>intermediate variable</t>
  </si>
  <si>
    <t>Elution BV</t>
  </si>
  <si>
    <t>\</t>
  </si>
  <si>
    <t>EQUILIBRATE-1</t>
  </si>
  <si>
    <t>Productivity</t>
  </si>
  <si>
    <t>Product concentration</t>
  </si>
  <si>
    <t>Yield</t>
  </si>
  <si>
    <t>kg/yr</t>
  </si>
  <si>
    <t>Number of columns</t>
  </si>
  <si>
    <t>Extra time</t>
  </si>
  <si>
    <t>Batch load time</t>
  </si>
  <si>
    <t>connected load time</t>
  </si>
  <si>
    <t>Avg load flowvel</t>
  </si>
  <si>
    <t>Batch load flowvel</t>
  </si>
  <si>
    <t>Connected load flowvel</t>
  </si>
  <si>
    <t>Step</t>
  </si>
  <si>
    <t>Column Volumes</t>
  </si>
  <si>
    <t>Flow Rate</t>
  </si>
  <si>
    <t>Cycled during PCC operation?</t>
  </si>
  <si>
    <t>Pre-Sanitization</t>
  </si>
  <si>
    <t>3 CV</t>
  </si>
  <si>
    <t>300 cm/hr</t>
  </si>
  <si>
    <t>No</t>
  </si>
  <si>
    <t>Equilibration</t>
  </si>
  <si>
    <t>Load</t>
  </si>
  <si>
    <t>Variable</t>
  </si>
  <si>
    <t>Yes</t>
  </si>
  <si>
    <t>Wash 1</t>
  </si>
  <si>
    <t>2 CV</t>
  </si>
  <si>
    <t>Wash 2</t>
  </si>
  <si>
    <t>5 CV</t>
  </si>
  <si>
    <t>150 cm/hr</t>
  </si>
  <si>
    <t>Wash 3</t>
  </si>
  <si>
    <t>Elution</t>
  </si>
  <si>
    <t>&lt; 5 CV</t>
  </si>
  <si>
    <t>CIP</t>
  </si>
  <si>
    <t>Neutralization 1</t>
  </si>
  <si>
    <t>Yes, 3 to 5 CV</t>
  </si>
  <si>
    <t>Sanitization</t>
  </si>
  <si>
    <t>Neutralization 2</t>
  </si>
  <si>
    <t>Storage</t>
  </si>
  <si>
    <t>Regeneration II BV</t>
  </si>
  <si>
    <t>Regeneration II time</t>
  </si>
  <si>
    <t>Equilibrium BV (export)</t>
  </si>
  <si>
    <t>equilibration flowvel (export)</t>
  </si>
  <si>
    <t>Regeneration II flowvel (export)</t>
  </si>
  <si>
    <t>REGENERATE-2</t>
  </si>
  <si>
    <t>FEED</t>
  </si>
  <si>
    <t>PROD</t>
  </si>
  <si>
    <t>MAB</t>
  </si>
  <si>
    <t>Regeneration II BV (export</t>
  </si>
  <si>
    <t xml:space="preserve">Regeneration II flowvel </t>
  </si>
  <si>
    <t>g/h/Lresin</t>
  </si>
  <si>
    <t>tRR</t>
  </si>
  <si>
    <t>t col height=10cm</t>
  </si>
  <si>
    <t>Capacity</t>
  </si>
  <si>
    <t>COG</t>
  </si>
  <si>
    <t>operating cost</t>
  </si>
  <si>
    <t>$/yr</t>
  </si>
  <si>
    <t>CYCLE/YR</t>
  </si>
  <si>
    <t>$/g</t>
  </si>
  <si>
    <t>Run</t>
  </si>
  <si>
    <t>Range</t>
  </si>
  <si>
    <t>g/L</t>
  </si>
  <si>
    <t>around 5</t>
  </si>
  <si>
    <t>up to 10</t>
  </si>
  <si>
    <t>cm</t>
  </si>
  <si>
    <t>20-30-40-60</t>
  </si>
  <si>
    <t>maxbt</t>
  </si>
  <si>
    <t xml:space="preserve">2 or 10 </t>
  </si>
  <si>
    <t>maxbt connected</t>
  </si>
  <si>
    <t>30-70</t>
  </si>
  <si>
    <t>1-1.5</t>
  </si>
  <si>
    <t>0.3-0.45</t>
  </si>
  <si>
    <t>10-28</t>
  </si>
  <si>
    <t>m3</t>
  </si>
  <si>
    <t>HOLD-1</t>
  </si>
  <si>
    <t>DP-101</t>
  </si>
  <si>
    <t>cycle volume</t>
  </si>
  <si>
    <t>Batch Volume</t>
  </si>
  <si>
    <t># cycles/batch</t>
  </si>
  <si>
    <t>Generic Container</t>
  </si>
  <si>
    <t>DCS-103</t>
  </si>
  <si>
    <t>DCS-104</t>
  </si>
  <si>
    <t>DCS-105</t>
  </si>
  <si>
    <t>DCS-101</t>
  </si>
  <si>
    <t>DCS-102</t>
  </si>
  <si>
    <t>Flexel Bag for Storage 1000 L</t>
  </si>
  <si>
    <t>V-102</t>
  </si>
  <si>
    <t>Large Bag</t>
  </si>
  <si>
    <t>Bufer bags replacent freq</t>
  </si>
  <si>
    <t>Storage bags replacent freq</t>
  </si>
  <si>
    <t>Buffer cost</t>
  </si>
  <si>
    <t xml:space="preserve">raw Capacity </t>
  </si>
  <si>
    <t>kg of product/yr</t>
  </si>
  <si>
    <t>Buffer cnsumption</t>
  </si>
  <si>
    <t>L/g of prod</t>
  </si>
  <si>
    <t>Cycle raw capacity</t>
  </si>
  <si>
    <t>cycle capacity</t>
  </si>
  <si>
    <t>kg of prod/cycle</t>
  </si>
  <si>
    <t xml:space="preserve">wash released </t>
  </si>
  <si>
    <t>Consumable cost</t>
  </si>
  <si>
    <t>2000 L Plastic Bag</t>
  </si>
  <si>
    <t>Membrane replacement frequency</t>
  </si>
  <si>
    <t>Number of batches per yr</t>
  </si>
  <si>
    <t>Resin</t>
  </si>
  <si>
    <t>Protein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</si>
</sst>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7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1" fillId="0" borderId="0" xfId="1"/>
    <xf numFmtId="0" fontId="3" fillId="3" borderId="1" xfId="0" applyFont="1" applyFill="1" applyBorder="1"/>
    <xf numFmtId="0" fontId="1" fillId="3" borderId="1" xfId="1" applyFill="1" applyBorder="1"/>
    <xf numFmtId="0" fontId="0" fillId="4" borderId="1" xfId="0" applyFill="1" applyBorder="1"/>
    <xf numFmtId="0" fontId="0" fillId="5" borderId="1" xfId="0" applyFill="1" applyBorder="1"/>
    <xf numFmtId="2" fontId="0" fillId="0" borderId="1" xfId="0" applyNumberFormat="1" applyBorder="1"/>
    <xf numFmtId="0" fontId="6" fillId="0" borderId="2" xfId="0" applyFont="1" applyBorder="1" applyAlignment="1">
      <alignment horizontal="justify" vertical="center" wrapText="1"/>
    </xf>
    <xf numFmtId="0" fontId="6" fillId="0" borderId="3" xfId="0" applyFont="1" applyBorder="1" applyAlignment="1">
      <alignment horizontal="justify" vertical="center" wrapText="1"/>
    </xf>
    <xf numFmtId="0" fontId="6" fillId="7" borderId="2" xfId="0" applyFont="1" applyFill="1" applyBorder="1" applyAlignment="1">
      <alignment horizontal="justify" vertical="center" wrapText="1"/>
    </xf>
    <xf numFmtId="0" fontId="6" fillId="8" borderId="2" xfId="0" applyFont="1" applyFill="1" applyBorder="1" applyAlignment="1">
      <alignment horizontal="justify" vertical="center" wrapText="1"/>
    </xf>
    <xf numFmtId="0" fontId="6" fillId="9" borderId="2" xfId="0" applyFont="1" applyFill="1" applyBorder="1" applyAlignment="1">
      <alignment horizontal="justify" vertical="center" wrapText="1"/>
    </xf>
    <xf numFmtId="0" fontId="6" fillId="10" borderId="2" xfId="0" applyFont="1" applyFill="1" applyBorder="1" applyAlignment="1">
      <alignment horizontal="justify" vertical="center" wrapText="1"/>
    </xf>
    <xf numFmtId="0" fontId="4" fillId="6" borderId="2" xfId="0" applyFont="1" applyFill="1" applyBorder="1" applyAlignment="1">
      <alignment horizontal="justify" vertical="center" wrapText="1"/>
    </xf>
    <xf numFmtId="0" fontId="5" fillId="6" borderId="3" xfId="0" applyFont="1" applyFill="1" applyBorder="1" applyAlignment="1">
      <alignment horizontal="justify" vertical="center" wrapText="1"/>
    </xf>
    <xf numFmtId="0" fontId="5" fillId="6" borderId="3" xfId="0" applyFont="1" applyFill="1" applyBorder="1" applyAlignment="1">
      <alignment vertical="center" wrapText="1"/>
    </xf>
    <xf numFmtId="0" fontId="0" fillId="0" borderId="4" xfId="0" applyBorder="1"/>
    <xf numFmtId="2" fontId="6" fillId="0" borderId="3" xfId="0" applyNumberFormat="1" applyFont="1" applyBorder="1" applyAlignment="1">
      <alignment horizontal="justify" vertical="center" wrapText="1"/>
    </xf>
    <xf numFmtId="3" fontId="0" fillId="0" borderId="1" xfId="2" applyNumberFormat="1" applyFont="1" applyBorder="1"/>
    <xf numFmtId="164" fontId="0" fillId="0" borderId="1" xfId="2" applyNumberFormat="1" applyFont="1" applyBorder="1"/>
    <xf numFmtId="0" fontId="8" fillId="11" borderId="1" xfId="0" applyFont="1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6" fillId="0" borderId="5" xfId="0" applyFont="1" applyBorder="1" applyAlignment="1">
      <alignment horizontal="justify" vertical="center" wrapText="1"/>
    </xf>
    <xf numFmtId="0" fontId="0" fillId="0" borderId="6" xfId="0" applyBorder="1"/>
    <xf numFmtId="0" fontId="8" fillId="11" borderId="1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2" xfId="1" xr:uid="{921815B6-FF65-4FB2-8B64-53131A62C5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15240</xdr:rowOff>
        </xdr:from>
        <xdr:to>
          <xdr:col>10</xdr:col>
          <xdr:colOff>15240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6</xdr:row>
          <xdr:rowOff>167640</xdr:rowOff>
        </xdr:from>
        <xdr:to>
          <xdr:col>10</xdr:col>
          <xdr:colOff>30480</xdr:colOff>
          <xdr:row>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10</xdr:row>
          <xdr:rowOff>15240</xdr:rowOff>
        </xdr:from>
        <xdr:to>
          <xdr:col>10</xdr:col>
          <xdr:colOff>15240</xdr:colOff>
          <xdr:row>11</xdr:row>
          <xdr:rowOff>175260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7620</xdr:rowOff>
        </xdr:from>
        <xdr:to>
          <xdr:col>10</xdr:col>
          <xdr:colOff>7620</xdr:colOff>
          <xdr:row>15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 Balace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16</xdr:row>
          <xdr:rowOff>7620</xdr:rowOff>
        </xdr:from>
        <xdr:to>
          <xdr:col>9</xdr:col>
          <xdr:colOff>586740</xdr:colOff>
          <xdr:row>17</xdr:row>
          <xdr:rowOff>175260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Economic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19</xdr:row>
          <xdr:rowOff>0</xdr:rowOff>
        </xdr:from>
        <xdr:to>
          <xdr:col>9</xdr:col>
          <xdr:colOff>601980</xdr:colOff>
          <xdr:row>20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C18A-303D-4834-8056-52386294CF22}">
  <sheetPr codeName="Sheet2"/>
  <dimension ref="A1:V87"/>
  <sheetViews>
    <sheetView tabSelected="1" zoomScale="85" zoomScaleNormal="85" workbookViewId="0">
      <selection activeCell="B1" sqref="B1"/>
    </sheetView>
  </sheetViews>
  <sheetFormatPr defaultRowHeight="14.4" x14ac:dyDescent="0.3"/>
  <cols>
    <col min="1" max="1" width="21" bestFit="1" customWidth="1"/>
    <col min="2" max="2" width="16.88671875" customWidth="1"/>
    <col min="3" max="3" width="12.44140625" bestFit="1" customWidth="1"/>
    <col min="4" max="4" width="12.5546875" bestFit="1" customWidth="1"/>
    <col min="5" max="5" width="16" bestFit="1" customWidth="1"/>
    <col min="6" max="6" width="16.33203125" bestFit="1" customWidth="1"/>
    <col min="7" max="7" width="19.109375" bestFit="1" customWidth="1"/>
    <col min="8" max="8" width="2.5546875" customWidth="1"/>
    <col min="13" max="14" width="21" bestFit="1" customWidth="1"/>
    <col min="16" max="16" width="11.6640625" bestFit="1" customWidth="1"/>
    <col min="17" max="17" width="12.44140625" bestFit="1" customWidth="1"/>
    <col min="18" max="19" width="12.6640625" bestFit="1" customWidth="1"/>
    <col min="20" max="20" width="12.6640625" customWidth="1"/>
    <col min="21" max="22" width="11.6640625" bestFit="1" customWidth="1"/>
  </cols>
  <sheetData>
    <row r="1" spans="1:22" x14ac:dyDescent="0.3">
      <c r="A1" s="1" t="s">
        <v>2</v>
      </c>
      <c r="B1" s="4"/>
    </row>
    <row r="2" spans="1:22" x14ac:dyDescent="0.3">
      <c r="A2" s="5" t="s">
        <v>15</v>
      </c>
      <c r="B2" s="5" t="s">
        <v>28</v>
      </c>
      <c r="C2" s="5" t="s">
        <v>17</v>
      </c>
      <c r="D2" s="5" t="s">
        <v>26</v>
      </c>
      <c r="E2" s="5" t="s">
        <v>25</v>
      </c>
      <c r="F2" s="6" t="s">
        <v>16</v>
      </c>
      <c r="G2" s="5" t="s">
        <v>18</v>
      </c>
    </row>
    <row r="3" spans="1:22" x14ac:dyDescent="0.3">
      <c r="A3" s="3" t="s">
        <v>3</v>
      </c>
      <c r="B3" s="3" t="s">
        <v>43</v>
      </c>
      <c r="C3" s="3">
        <v>0.5</v>
      </c>
      <c r="D3" s="3" t="s">
        <v>94</v>
      </c>
      <c r="E3" s="3" t="s">
        <v>96</v>
      </c>
      <c r="F3" s="8" t="s">
        <v>19</v>
      </c>
      <c r="G3" s="2" t="s">
        <v>40</v>
      </c>
    </row>
    <row r="4" spans="1:22" x14ac:dyDescent="0.3">
      <c r="A4" s="3" t="s">
        <v>45</v>
      </c>
      <c r="B4" s="3" t="s">
        <v>43</v>
      </c>
      <c r="C4" s="3">
        <f>100-C3</f>
        <v>99.5</v>
      </c>
      <c r="D4" s="3" t="s">
        <v>94</v>
      </c>
      <c r="E4" s="3" t="s">
        <v>44</v>
      </c>
      <c r="F4" s="3" t="s">
        <v>21</v>
      </c>
      <c r="G4" s="2" t="s">
        <v>40</v>
      </c>
    </row>
    <row r="5" spans="1:22" x14ac:dyDescent="0.3">
      <c r="A5" s="3" t="s">
        <v>125</v>
      </c>
      <c r="B5" s="3" t="s">
        <v>122</v>
      </c>
      <c r="C5" s="3">
        <f>C48/C49</f>
        <v>0.5</v>
      </c>
      <c r="D5" s="3" t="s">
        <v>94</v>
      </c>
      <c r="E5" s="3"/>
      <c r="F5" s="3" t="s">
        <v>21</v>
      </c>
      <c r="G5" s="2" t="s">
        <v>23</v>
      </c>
    </row>
    <row r="6" spans="1:22" x14ac:dyDescent="0.3">
      <c r="A6" s="3" t="s">
        <v>5</v>
      </c>
      <c r="B6" s="3" t="s">
        <v>22</v>
      </c>
      <c r="C6" s="3">
        <v>4.1899999999999999E-4</v>
      </c>
      <c r="D6" s="3" t="s">
        <v>46</v>
      </c>
      <c r="E6" s="3"/>
      <c r="F6" s="8" t="s">
        <v>19</v>
      </c>
      <c r="G6" s="2" t="s">
        <v>23</v>
      </c>
    </row>
    <row r="7" spans="1:22" x14ac:dyDescent="0.3">
      <c r="A7" s="3" t="s">
        <v>4</v>
      </c>
      <c r="B7" s="3" t="s">
        <v>22</v>
      </c>
      <c r="C7" s="3">
        <v>12.077266968972232</v>
      </c>
      <c r="D7" s="3" t="s">
        <v>46</v>
      </c>
      <c r="E7" s="3"/>
      <c r="F7" s="8" t="s">
        <v>19</v>
      </c>
      <c r="G7" s="2" t="s">
        <v>23</v>
      </c>
    </row>
    <row r="8" spans="1:22" x14ac:dyDescent="0.3">
      <c r="A8" s="3" t="s">
        <v>27</v>
      </c>
      <c r="B8" s="3" t="s">
        <v>22</v>
      </c>
      <c r="C8" s="3">
        <v>7.5943749999999991E-4</v>
      </c>
      <c r="D8" s="3" t="s">
        <v>46</v>
      </c>
      <c r="E8" s="3"/>
      <c r="F8" s="3" t="s">
        <v>21</v>
      </c>
      <c r="G8" s="2" t="s">
        <v>23</v>
      </c>
    </row>
    <row r="9" spans="1:22" x14ac:dyDescent="0.3">
      <c r="A9" s="3" t="s">
        <v>59</v>
      </c>
      <c r="B9" s="3" t="s">
        <v>32</v>
      </c>
      <c r="C9" s="3">
        <f>(C32*C31+C28*C33)/(C28+C31)</f>
        <v>0.30168</v>
      </c>
      <c r="D9" s="3" t="s">
        <v>1</v>
      </c>
      <c r="E9" s="3" t="s">
        <v>0</v>
      </c>
      <c r="F9" s="3" t="s">
        <v>21</v>
      </c>
      <c r="G9" s="2" t="s">
        <v>23</v>
      </c>
    </row>
    <row r="10" spans="1:22" x14ac:dyDescent="0.3">
      <c r="A10" s="3" t="s">
        <v>6</v>
      </c>
      <c r="B10" s="3" t="s">
        <v>31</v>
      </c>
      <c r="C10" s="3">
        <v>0.9705384000802717</v>
      </c>
      <c r="D10" s="3" t="s">
        <v>1</v>
      </c>
      <c r="E10" s="3" t="s">
        <v>0</v>
      </c>
      <c r="F10" s="8" t="s">
        <v>20</v>
      </c>
      <c r="G10" s="2" t="s">
        <v>23</v>
      </c>
      <c r="N10" s="29" t="s">
        <v>108</v>
      </c>
      <c r="O10" s="29"/>
      <c r="P10" s="23">
        <v>1</v>
      </c>
      <c r="Q10" s="23">
        <v>2</v>
      </c>
      <c r="R10" s="23">
        <v>3</v>
      </c>
      <c r="S10" s="23">
        <v>4</v>
      </c>
      <c r="T10" s="23">
        <v>5</v>
      </c>
      <c r="U10" s="23">
        <v>6</v>
      </c>
      <c r="V10" s="23">
        <v>7</v>
      </c>
    </row>
    <row r="11" spans="1:22" x14ac:dyDescent="0.3">
      <c r="A11" s="3" t="s">
        <v>41</v>
      </c>
      <c r="B11" s="3" t="s">
        <v>30</v>
      </c>
      <c r="C11" s="3">
        <f>(C28)+IF(C29=1,(C14+C16+C20+C38+C23),IF(C29=2,C31+C14+C23+C38,C31+C23+C38))</f>
        <v>2.3247120370370369E-2</v>
      </c>
      <c r="D11" s="3" t="s">
        <v>1</v>
      </c>
      <c r="E11" s="3"/>
      <c r="F11" s="3" t="s">
        <v>21</v>
      </c>
      <c r="G11" s="2" t="s">
        <v>23</v>
      </c>
      <c r="H11">
        <f>C28+0.961</f>
        <v>0.97546759259259253</v>
      </c>
      <c r="M11">
        <f>C29</f>
        <v>1</v>
      </c>
      <c r="N11" s="2" t="str">
        <f>A29</f>
        <v>Number of columns</v>
      </c>
      <c r="O11" s="3" t="str">
        <f>B29</f>
        <v>-</v>
      </c>
      <c r="P11" s="3">
        <v>1</v>
      </c>
      <c r="Q11" s="3">
        <v>2</v>
      </c>
      <c r="R11" s="3"/>
      <c r="S11" s="3"/>
      <c r="T11" s="3"/>
      <c r="U11" s="3"/>
      <c r="V11" s="3"/>
    </row>
    <row r="12" spans="1:22" x14ac:dyDescent="0.3">
      <c r="A12" s="3" t="s">
        <v>11</v>
      </c>
      <c r="B12" s="3" t="s">
        <v>32</v>
      </c>
      <c r="C12" s="3">
        <v>2.25</v>
      </c>
      <c r="D12" s="3" t="s">
        <v>1</v>
      </c>
      <c r="E12" s="3" t="s">
        <v>37</v>
      </c>
      <c r="F12" s="8" t="s">
        <v>19</v>
      </c>
      <c r="G12" s="2" t="s">
        <v>40</v>
      </c>
      <c r="M12">
        <f>C28</f>
        <v>1.4467592592592591E-2</v>
      </c>
      <c r="N12" s="2" t="str">
        <f>A28</f>
        <v>connected load time</v>
      </c>
      <c r="O12" s="3" t="str">
        <f>B28</f>
        <v>h</v>
      </c>
      <c r="P12" s="3">
        <v>2.5</v>
      </c>
      <c r="Q12" s="3">
        <v>2.5</v>
      </c>
      <c r="R12" s="3"/>
      <c r="S12" s="3"/>
      <c r="T12" s="3"/>
      <c r="U12" s="3"/>
      <c r="V12" s="3"/>
    </row>
    <row r="13" spans="1:22" x14ac:dyDescent="0.3">
      <c r="A13" s="3" t="s">
        <v>34</v>
      </c>
      <c r="B13" s="3" t="s">
        <v>31</v>
      </c>
      <c r="C13" s="3">
        <v>10</v>
      </c>
      <c r="D13" s="3" t="s">
        <v>1</v>
      </c>
      <c r="E13" s="3" t="s">
        <v>37</v>
      </c>
      <c r="F13" s="8" t="s">
        <v>19</v>
      </c>
      <c r="G13" s="2" t="s">
        <v>40</v>
      </c>
      <c r="M13">
        <f>C30</f>
        <v>0</v>
      </c>
      <c r="N13" s="3" t="str">
        <f>A30</f>
        <v>Extra time</v>
      </c>
      <c r="O13" s="3" t="str">
        <f>B30</f>
        <v>h</v>
      </c>
      <c r="P13" s="3">
        <v>0</v>
      </c>
      <c r="Q13" s="3">
        <v>2.6333333333333333</v>
      </c>
      <c r="R13" s="3"/>
      <c r="S13" s="3"/>
      <c r="T13" s="3"/>
      <c r="U13" s="3"/>
      <c r="V13" s="3"/>
    </row>
    <row r="14" spans="1:22" x14ac:dyDescent="0.3">
      <c r="A14" s="3" t="s">
        <v>7</v>
      </c>
      <c r="B14" s="3" t="s">
        <v>30</v>
      </c>
      <c r="C14" s="3">
        <f>C6/C12*C13</f>
        <v>1.8622222222222221E-3</v>
      </c>
      <c r="D14" s="3" t="s">
        <v>1</v>
      </c>
      <c r="E14" s="3" t="s">
        <v>37</v>
      </c>
      <c r="F14" s="3" t="s">
        <v>21</v>
      </c>
      <c r="G14" s="3" t="s">
        <v>47</v>
      </c>
      <c r="M14">
        <f>C32</f>
        <v>0.30168</v>
      </c>
      <c r="N14" s="2" t="str">
        <f>A32</f>
        <v>Batch load flowvel</v>
      </c>
      <c r="O14" s="3" t="str">
        <f>B32</f>
        <v>m/h</v>
      </c>
      <c r="P14" s="3">
        <v>1.5</v>
      </c>
      <c r="Q14" s="3">
        <v>1.5</v>
      </c>
      <c r="R14" s="3"/>
      <c r="S14" s="3"/>
      <c r="T14" s="3"/>
      <c r="U14" s="3"/>
      <c r="V14" s="3"/>
    </row>
    <row r="15" spans="1:22" x14ac:dyDescent="0.3">
      <c r="A15" s="3" t="s">
        <v>14</v>
      </c>
      <c r="B15" s="3" t="s">
        <v>32</v>
      </c>
      <c r="C15" s="3">
        <v>0.30168</v>
      </c>
      <c r="D15" s="3" t="s">
        <v>1</v>
      </c>
      <c r="E15" s="3" t="s">
        <v>38</v>
      </c>
      <c r="F15" s="8" t="s">
        <v>19</v>
      </c>
      <c r="G15" s="2" t="s">
        <v>23</v>
      </c>
      <c r="M15">
        <f>C33</f>
        <v>0.30168</v>
      </c>
      <c r="N15" s="2" t="str">
        <f>A33</f>
        <v>Connected load flowvel</v>
      </c>
      <c r="O15" s="3" t="str">
        <f>B33</f>
        <v>m/h</v>
      </c>
      <c r="P15" s="3">
        <v>2</v>
      </c>
      <c r="Q15" s="3">
        <v>2</v>
      </c>
      <c r="R15" s="3"/>
      <c r="S15" s="3"/>
      <c r="T15" s="3"/>
      <c r="U15" s="3"/>
      <c r="V15" s="3"/>
    </row>
    <row r="16" spans="1:22" x14ac:dyDescent="0.3">
      <c r="A16" s="3" t="s">
        <v>9</v>
      </c>
      <c r="B16" s="3" t="s">
        <v>30</v>
      </c>
      <c r="C16" s="3">
        <f>C17/C15*C6</f>
        <v>5.5555555555555549E-3</v>
      </c>
      <c r="D16" s="3" t="s">
        <v>1</v>
      </c>
      <c r="E16" s="3" t="s">
        <v>38</v>
      </c>
      <c r="F16" s="8" t="s">
        <v>20</v>
      </c>
      <c r="G16" s="3" t="s">
        <v>47</v>
      </c>
      <c r="M16">
        <f>C24</f>
        <v>2.2869407366002275</v>
      </c>
      <c r="N16" s="3" t="str">
        <f>A41</f>
        <v>Productivity</v>
      </c>
      <c r="O16" s="3" t="str">
        <f>B24</f>
        <v>kg of prod/cycle</v>
      </c>
      <c r="P16" s="9">
        <v>0.59379922489754156</v>
      </c>
      <c r="Q16" s="9">
        <v>0.6769429923676954</v>
      </c>
      <c r="R16" s="9"/>
      <c r="S16" s="9"/>
      <c r="T16" s="9"/>
      <c r="U16" s="9"/>
      <c r="V16" s="9"/>
    </row>
    <row r="17" spans="1:22" x14ac:dyDescent="0.3">
      <c r="A17" s="3" t="s">
        <v>48</v>
      </c>
      <c r="B17" s="3" t="s">
        <v>31</v>
      </c>
      <c r="C17" s="3">
        <v>4</v>
      </c>
      <c r="D17" s="3" t="s">
        <v>1</v>
      </c>
      <c r="E17" s="3" t="s">
        <v>38</v>
      </c>
      <c r="F17" s="3" t="s">
        <v>21</v>
      </c>
      <c r="G17" s="2" t="s">
        <v>23</v>
      </c>
      <c r="M17">
        <f>C25</f>
        <v>1.1829684061597676</v>
      </c>
      <c r="N17" s="3" t="str">
        <f>A25</f>
        <v>Product concentration</v>
      </c>
      <c r="O17" s="3" t="str">
        <f>B25</f>
        <v>mass%</v>
      </c>
      <c r="P17" s="9">
        <v>2.0869541967970879</v>
      </c>
      <c r="Q17" s="9">
        <v>2.3722374819262351</v>
      </c>
      <c r="R17" s="9"/>
      <c r="S17" s="9"/>
      <c r="T17" s="9"/>
      <c r="U17" s="9"/>
      <c r="V17" s="9"/>
    </row>
    <row r="18" spans="1:22" x14ac:dyDescent="0.3">
      <c r="A18" s="3" t="s">
        <v>12</v>
      </c>
      <c r="B18" s="3" t="s">
        <v>49</v>
      </c>
      <c r="C18" s="3">
        <v>3</v>
      </c>
      <c r="D18" s="3" t="s">
        <v>1</v>
      </c>
      <c r="E18" s="3" t="s">
        <v>39</v>
      </c>
      <c r="F18" s="8" t="s">
        <v>19</v>
      </c>
      <c r="G18" s="2" t="s">
        <v>40</v>
      </c>
      <c r="M18">
        <f>C11</f>
        <v>2.3247120370370369E-2</v>
      </c>
      <c r="N18" s="7" t="str">
        <f>A11</f>
        <v>cycle time</v>
      </c>
      <c r="O18" s="3" t="str">
        <f>B11</f>
        <v>h</v>
      </c>
      <c r="P18" s="9">
        <v>3.6</v>
      </c>
      <c r="Q18" s="9">
        <v>3.1000666666666667</v>
      </c>
      <c r="R18" s="9"/>
      <c r="S18" s="9"/>
      <c r="T18" s="9"/>
      <c r="U18" s="9"/>
      <c r="V18" s="9"/>
    </row>
    <row r="19" spans="1:22" x14ac:dyDescent="0.3">
      <c r="A19" s="3" t="s">
        <v>35</v>
      </c>
      <c r="B19" s="3" t="s">
        <v>31</v>
      </c>
      <c r="C19" s="3">
        <v>6</v>
      </c>
      <c r="D19" s="3" t="s">
        <v>1</v>
      </c>
      <c r="E19" s="3" t="s">
        <v>39</v>
      </c>
      <c r="F19" s="8" t="s">
        <v>19</v>
      </c>
      <c r="G19" s="2" t="s">
        <v>40</v>
      </c>
      <c r="M19">
        <f>C26</f>
        <v>0.92201148007625833</v>
      </c>
      <c r="N19" s="3" t="str">
        <f>A26</f>
        <v>Yield</v>
      </c>
      <c r="O19" s="3" t="str">
        <f>B26</f>
        <v>-</v>
      </c>
      <c r="P19" s="9">
        <v>0.95</v>
      </c>
      <c r="Q19" s="9">
        <v>0.94999999999999984</v>
      </c>
      <c r="R19" s="9"/>
      <c r="S19" s="9"/>
      <c r="T19" s="9"/>
      <c r="U19" s="9"/>
      <c r="V19" s="9"/>
    </row>
    <row r="20" spans="1:22" x14ac:dyDescent="0.3">
      <c r="A20" s="3" t="s">
        <v>8</v>
      </c>
      <c r="B20" s="3" t="s">
        <v>30</v>
      </c>
      <c r="C20" s="3">
        <f>C19*C6/C18</f>
        <v>8.3799999999999988E-4</v>
      </c>
      <c r="D20" s="3" t="s">
        <v>1</v>
      </c>
      <c r="E20" s="3" t="s">
        <v>39</v>
      </c>
      <c r="F20" s="3" t="s">
        <v>21</v>
      </c>
      <c r="G20" s="3" t="s">
        <v>47</v>
      </c>
      <c r="M20">
        <f>C27</f>
        <v>193.32221593510258</v>
      </c>
      <c r="N20" s="7" t="str">
        <f>A27</f>
        <v>Cycle raw capacity</v>
      </c>
      <c r="O20" s="3" t="str">
        <f>B27</f>
        <v>kg</v>
      </c>
      <c r="P20" s="9">
        <v>28.452911223871769</v>
      </c>
      <c r="Q20" s="9">
        <v>28.536054991341924</v>
      </c>
      <c r="R20" s="9"/>
      <c r="S20" s="9"/>
      <c r="T20" s="9"/>
      <c r="U20" s="9"/>
      <c r="V20" s="9"/>
    </row>
    <row r="21" spans="1:22" x14ac:dyDescent="0.3">
      <c r="A21" s="3" t="s">
        <v>91</v>
      </c>
      <c r="B21" s="3" t="s">
        <v>32</v>
      </c>
      <c r="C21" s="3">
        <f>C34</f>
        <v>3</v>
      </c>
      <c r="D21" s="3" t="s">
        <v>1</v>
      </c>
      <c r="E21" s="3" t="s">
        <v>50</v>
      </c>
      <c r="F21" s="3" t="s">
        <v>21</v>
      </c>
      <c r="G21" s="2" t="s">
        <v>40</v>
      </c>
      <c r="M21">
        <f t="shared" ref="M21:M26" si="0">C41</f>
        <v>2049.4838896217379</v>
      </c>
      <c r="N21" s="3" t="str">
        <f>B41</f>
        <v>g/h/Lresin</v>
      </c>
      <c r="O21" s="3" t="e">
        <f>#REF!</f>
        <v>#REF!</v>
      </c>
      <c r="P21" s="9">
        <v>84.829066537499997</v>
      </c>
      <c r="Q21" s="9">
        <v>48.353416217040383</v>
      </c>
      <c r="R21" s="9"/>
      <c r="S21" s="9"/>
      <c r="T21" s="9"/>
      <c r="U21" s="9"/>
      <c r="V21" s="9"/>
    </row>
    <row r="22" spans="1:22" x14ac:dyDescent="0.3">
      <c r="A22" s="3" t="s">
        <v>90</v>
      </c>
      <c r="B22" s="3" t="s">
        <v>31</v>
      </c>
      <c r="C22" s="3">
        <f>C35/C49*C29</f>
        <v>1.5</v>
      </c>
      <c r="D22" s="3" t="s">
        <v>1</v>
      </c>
      <c r="E22" s="3" t="s">
        <v>50</v>
      </c>
      <c r="F22" s="3" t="s">
        <v>21</v>
      </c>
      <c r="G22" s="2" t="s">
        <v>40</v>
      </c>
      <c r="M22">
        <f t="shared" si="0"/>
        <v>64896334.667254575</v>
      </c>
      <c r="N22" s="7" t="str">
        <f t="shared" ref="N22:O26" si="1">A42</f>
        <v xml:space="preserve">raw Capacity </v>
      </c>
      <c r="O22" s="3" t="str">
        <f t="shared" si="1"/>
        <v>kg/yr</v>
      </c>
      <c r="P22" s="21">
        <v>62567.951781294018</v>
      </c>
      <c r="Q22" s="21">
        <v>72852.548392895958</v>
      </c>
      <c r="R22" s="21"/>
      <c r="S22" s="21"/>
      <c r="T22" s="21"/>
      <c r="U22" s="21"/>
      <c r="V22" s="21"/>
    </row>
    <row r="23" spans="1:22" x14ac:dyDescent="0.3">
      <c r="A23" s="3" t="s">
        <v>10</v>
      </c>
      <c r="B23" s="3" t="s">
        <v>30</v>
      </c>
      <c r="C23" s="3">
        <f>C6/C21*C22</f>
        <v>2.095E-4</v>
      </c>
      <c r="D23" s="3" t="s">
        <v>1</v>
      </c>
      <c r="E23" s="3" t="s">
        <v>50</v>
      </c>
      <c r="F23" s="3" t="s">
        <v>21</v>
      </c>
      <c r="G23" s="3" t="s">
        <v>47</v>
      </c>
      <c r="M23">
        <f t="shared" si="0"/>
        <v>6286955680.8871927</v>
      </c>
      <c r="N23" s="3" t="str">
        <f t="shared" si="1"/>
        <v>operating cost</v>
      </c>
      <c r="O23" s="3" t="str">
        <f t="shared" si="1"/>
        <v>$/yr</v>
      </c>
      <c r="P23" s="22">
        <v>7226505.1543039661</v>
      </c>
      <c r="Q23" s="22">
        <v>8696016.6748616658</v>
      </c>
      <c r="R23" s="22"/>
      <c r="S23" s="22"/>
      <c r="T23" s="22"/>
      <c r="U23" s="22"/>
      <c r="V23" s="22"/>
    </row>
    <row r="24" spans="1:22" x14ac:dyDescent="0.3">
      <c r="A24" s="19" t="s">
        <v>145</v>
      </c>
      <c r="B24" s="3" t="s">
        <v>146</v>
      </c>
      <c r="C24" s="3">
        <v>2.2869407366002275</v>
      </c>
      <c r="D24" s="3" t="s">
        <v>95</v>
      </c>
      <c r="E24" s="3" t="s">
        <v>96</v>
      </c>
      <c r="F24" s="3" t="s">
        <v>42</v>
      </c>
      <c r="G24" s="7" t="s">
        <v>24</v>
      </c>
      <c r="M24">
        <f>C45</f>
        <v>8.1893057187632596</v>
      </c>
      <c r="N24" s="3" t="str">
        <f>A45</f>
        <v>COG</v>
      </c>
      <c r="O24" s="3" t="str">
        <f t="shared" si="1"/>
        <v>kg of product/yr</v>
      </c>
      <c r="P24" s="9">
        <v>115.49850919787467</v>
      </c>
      <c r="Q24" s="9">
        <v>119.36461890068402</v>
      </c>
      <c r="R24" s="9"/>
      <c r="S24" s="9"/>
      <c r="T24" s="9"/>
      <c r="U24" s="9"/>
      <c r="V24" s="9"/>
    </row>
    <row r="25" spans="1:22" x14ac:dyDescent="0.3">
      <c r="A25" s="3" t="s">
        <v>52</v>
      </c>
      <c r="B25" s="3" t="s">
        <v>43</v>
      </c>
      <c r="C25" s="3">
        <v>1.1829684061597676</v>
      </c>
      <c r="D25" s="3" t="s">
        <v>95</v>
      </c>
      <c r="E25" s="3" t="s">
        <v>96</v>
      </c>
      <c r="F25" s="3" t="s">
        <v>42</v>
      </c>
      <c r="G25" s="7" t="s">
        <v>24</v>
      </c>
      <c r="M25">
        <f>C44</f>
        <v>767703.13586933014</v>
      </c>
      <c r="N25" s="3" t="str">
        <f>A44</f>
        <v>Capacity</v>
      </c>
      <c r="O25" s="3" t="str">
        <f t="shared" si="1"/>
        <v>$/g</v>
      </c>
      <c r="P25" s="9">
        <v>769.64450326260533</v>
      </c>
      <c r="Q25" s="9">
        <v>1018.6575958316913</v>
      </c>
      <c r="R25" s="9"/>
      <c r="S25" s="9"/>
      <c r="T25" s="9"/>
      <c r="U25" s="9"/>
      <c r="V25" s="9"/>
    </row>
    <row r="26" spans="1:22" x14ac:dyDescent="0.3">
      <c r="A26" s="3" t="s">
        <v>53</v>
      </c>
      <c r="B26" s="3" t="s">
        <v>31</v>
      </c>
      <c r="C26" s="3">
        <v>0.92201148007625833</v>
      </c>
      <c r="D26" s="3" t="s">
        <v>95</v>
      </c>
      <c r="E26" s="3" t="s">
        <v>96</v>
      </c>
      <c r="F26" s="3" t="s">
        <v>42</v>
      </c>
      <c r="G26" s="7" t="s">
        <v>24</v>
      </c>
      <c r="M26">
        <f t="shared" si="0"/>
        <v>335689.99999999994</v>
      </c>
      <c r="N26" s="3" t="str">
        <f t="shared" si="1"/>
        <v>CYCLE/YR</v>
      </c>
      <c r="O26" s="3">
        <f t="shared" si="1"/>
        <v>0</v>
      </c>
      <c r="P26" s="9">
        <v>2199</v>
      </c>
      <c r="Q26" s="9">
        <v>2553.0000000000009</v>
      </c>
      <c r="R26" s="9"/>
      <c r="S26" s="9"/>
      <c r="T26" s="9"/>
      <c r="U26" s="9"/>
      <c r="V26" s="9"/>
    </row>
    <row r="27" spans="1:22" x14ac:dyDescent="0.3">
      <c r="A27" s="3" t="s">
        <v>144</v>
      </c>
      <c r="B27" s="3" t="s">
        <v>33</v>
      </c>
      <c r="C27" s="3">
        <v>193.32221593510258</v>
      </c>
      <c r="D27" s="3" t="s">
        <v>1</v>
      </c>
      <c r="E27" s="3" t="s">
        <v>95</v>
      </c>
      <c r="F27" s="3" t="s">
        <v>42</v>
      </c>
      <c r="G27" s="7" t="s">
        <v>24</v>
      </c>
    </row>
    <row r="28" spans="1:22" x14ac:dyDescent="0.3">
      <c r="A28" s="3" t="s">
        <v>58</v>
      </c>
      <c r="B28" s="3" t="s">
        <v>30</v>
      </c>
      <c r="C28" s="3">
        <f>IF((C5/C33/(PI()/4*C7^2)-C31*C32/C33)&lt;0,0,C5/C33/(PI()/4*C7^2)-C31*C32/C33)</f>
        <v>1.4467592592592591E-2</v>
      </c>
      <c r="D28" s="3" t="s">
        <v>1</v>
      </c>
      <c r="E28" s="3" t="s">
        <v>0</v>
      </c>
      <c r="F28" s="3" t="s">
        <v>21</v>
      </c>
      <c r="G28" s="3" t="s">
        <v>47</v>
      </c>
      <c r="I28">
        <f>C28*60</f>
        <v>0.86805555555555547</v>
      </c>
    </row>
    <row r="29" spans="1:22" x14ac:dyDescent="0.3">
      <c r="A29" s="3" t="s">
        <v>55</v>
      </c>
      <c r="B29" s="3" t="s">
        <v>31</v>
      </c>
      <c r="C29" s="9">
        <v>1</v>
      </c>
      <c r="D29" s="3" t="s">
        <v>46</v>
      </c>
      <c r="E29" s="3" t="s">
        <v>124</v>
      </c>
      <c r="F29" s="8" t="s">
        <v>19</v>
      </c>
      <c r="G29" s="2" t="s">
        <v>23</v>
      </c>
    </row>
    <row r="30" spans="1:22" x14ac:dyDescent="0.3">
      <c r="A30" s="3" t="s">
        <v>56</v>
      </c>
      <c r="B30" s="3" t="s">
        <v>30</v>
      </c>
      <c r="C30" s="3">
        <f>IF(C29=1,0,IF(C29=2,C11-C31,C11*(C29-1)-C23-C20-C38-C16-C14))</f>
        <v>0</v>
      </c>
      <c r="D30" s="3" t="s">
        <v>1</v>
      </c>
      <c r="E30" s="3" t="s">
        <v>123</v>
      </c>
      <c r="F30" s="3" t="s">
        <v>21</v>
      </c>
      <c r="G30" s="2" t="s">
        <v>23</v>
      </c>
    </row>
    <row r="31" spans="1:22" x14ac:dyDescent="0.3">
      <c r="A31" s="3" t="s">
        <v>57</v>
      </c>
      <c r="B31" s="3" t="s">
        <v>30</v>
      </c>
      <c r="C31" s="3">
        <f>IF(C29=1,0,IF(C29=2,C16+C20,C14))</f>
        <v>0</v>
      </c>
      <c r="D31" s="3" t="s">
        <v>1</v>
      </c>
      <c r="E31" s="3" t="s">
        <v>0</v>
      </c>
      <c r="F31" s="3" t="s">
        <v>21</v>
      </c>
      <c r="G31" s="3" t="s">
        <v>47</v>
      </c>
      <c r="I31">
        <f>C31*60</f>
        <v>0</v>
      </c>
    </row>
    <row r="32" spans="1:22" x14ac:dyDescent="0.3">
      <c r="A32" s="3" t="s">
        <v>60</v>
      </c>
      <c r="B32" s="3" t="s">
        <v>32</v>
      </c>
      <c r="C32" s="3">
        <v>0.30168</v>
      </c>
      <c r="D32" s="3" t="s">
        <v>1</v>
      </c>
      <c r="E32" s="3" t="s">
        <v>0</v>
      </c>
      <c r="F32" s="8" t="s">
        <v>20</v>
      </c>
      <c r="G32" s="3" t="s">
        <v>47</v>
      </c>
    </row>
    <row r="33" spans="1:9" x14ac:dyDescent="0.3">
      <c r="A33" s="3" t="s">
        <v>61</v>
      </c>
      <c r="B33" s="3" t="s">
        <v>32</v>
      </c>
      <c r="C33" s="3">
        <v>0.30168</v>
      </c>
      <c r="D33" s="3" t="s">
        <v>1</v>
      </c>
      <c r="E33" s="3" t="s">
        <v>0</v>
      </c>
      <c r="F33" s="8" t="s">
        <v>19</v>
      </c>
      <c r="G33" s="3" t="s">
        <v>47</v>
      </c>
    </row>
    <row r="34" spans="1:9" x14ac:dyDescent="0.3">
      <c r="A34" s="3" t="s">
        <v>13</v>
      </c>
      <c r="B34" s="3" t="s">
        <v>49</v>
      </c>
      <c r="C34" s="3">
        <v>3</v>
      </c>
      <c r="D34" s="3" t="s">
        <v>1</v>
      </c>
      <c r="E34" s="3" t="s">
        <v>39</v>
      </c>
      <c r="F34" s="8" t="s">
        <v>19</v>
      </c>
      <c r="G34" s="3" t="s">
        <v>47</v>
      </c>
    </row>
    <row r="35" spans="1:9" x14ac:dyDescent="0.3">
      <c r="A35" s="3" t="s">
        <v>36</v>
      </c>
      <c r="B35" s="3" t="s">
        <v>31</v>
      </c>
      <c r="C35" s="3">
        <v>6</v>
      </c>
      <c r="D35" s="3" t="s">
        <v>1</v>
      </c>
      <c r="E35" s="3" t="s">
        <v>39</v>
      </c>
      <c r="F35" s="8" t="s">
        <v>19</v>
      </c>
      <c r="G35" s="3" t="s">
        <v>47</v>
      </c>
    </row>
    <row r="36" spans="1:9" x14ac:dyDescent="0.3">
      <c r="A36" s="3" t="s">
        <v>92</v>
      </c>
      <c r="B36" s="3" t="s">
        <v>49</v>
      </c>
      <c r="C36" s="3">
        <f>C39</f>
        <v>3</v>
      </c>
      <c r="D36" s="3" t="s">
        <v>1</v>
      </c>
      <c r="E36" s="3" t="s">
        <v>93</v>
      </c>
      <c r="F36" s="3" t="s">
        <v>21</v>
      </c>
      <c r="G36" s="2" t="s">
        <v>40</v>
      </c>
    </row>
    <row r="37" spans="1:9" x14ac:dyDescent="0.3">
      <c r="A37" s="3" t="s">
        <v>97</v>
      </c>
      <c r="B37" s="3" t="s">
        <v>31</v>
      </c>
      <c r="C37" s="3">
        <f>C40/C49*C29</f>
        <v>2.25</v>
      </c>
      <c r="D37" s="3" t="s">
        <v>1</v>
      </c>
      <c r="E37" s="3" t="s">
        <v>93</v>
      </c>
      <c r="F37" s="3" t="s">
        <v>21</v>
      </c>
      <c r="G37" s="2" t="s">
        <v>40</v>
      </c>
    </row>
    <row r="38" spans="1:9" x14ac:dyDescent="0.3">
      <c r="A38" s="3" t="s">
        <v>89</v>
      </c>
      <c r="B38" s="3" t="s">
        <v>30</v>
      </c>
      <c r="C38" s="3">
        <f>C6/C36*C37</f>
        <v>3.1424999999999997E-4</v>
      </c>
      <c r="D38" s="3" t="s">
        <v>1</v>
      </c>
      <c r="E38" s="3" t="s">
        <v>93</v>
      </c>
      <c r="F38" s="3" t="s">
        <v>21</v>
      </c>
      <c r="G38" s="3" t="s">
        <v>47</v>
      </c>
    </row>
    <row r="39" spans="1:9" x14ac:dyDescent="0.3">
      <c r="A39" s="3" t="s">
        <v>98</v>
      </c>
      <c r="B39" s="3" t="s">
        <v>49</v>
      </c>
      <c r="C39" s="3">
        <v>3</v>
      </c>
      <c r="D39" s="3" t="s">
        <v>1</v>
      </c>
      <c r="E39" s="3" t="s">
        <v>93</v>
      </c>
      <c r="F39" s="8" t="s">
        <v>19</v>
      </c>
      <c r="G39" s="3" t="s">
        <v>47</v>
      </c>
    </row>
    <row r="40" spans="1:9" x14ac:dyDescent="0.3">
      <c r="A40" s="3" t="s">
        <v>88</v>
      </c>
      <c r="B40" s="3" t="s">
        <v>31</v>
      </c>
      <c r="C40" s="3">
        <v>9</v>
      </c>
      <c r="D40" s="3" t="s">
        <v>1</v>
      </c>
      <c r="E40" s="3" t="s">
        <v>93</v>
      </c>
      <c r="F40" s="8" t="s">
        <v>19</v>
      </c>
      <c r="G40" s="3" t="s">
        <v>47</v>
      </c>
    </row>
    <row r="41" spans="1:9" x14ac:dyDescent="0.3">
      <c r="A41" s="3" t="s">
        <v>51</v>
      </c>
      <c r="B41" s="3" t="s">
        <v>99</v>
      </c>
      <c r="C41" s="3">
        <f>C24*1000/(C7^2/4*PI()*C6*1000*C29)/C11</f>
        <v>2049.4838896217379</v>
      </c>
      <c r="D41" s="3"/>
      <c r="E41" s="3"/>
      <c r="F41" s="3" t="s">
        <v>21</v>
      </c>
      <c r="G41" s="7" t="s">
        <v>24</v>
      </c>
      <c r="I41">
        <v>112.20856134878046</v>
      </c>
    </row>
    <row r="42" spans="1:9" x14ac:dyDescent="0.3">
      <c r="A42" s="3" t="s">
        <v>140</v>
      </c>
      <c r="B42" s="3" t="s">
        <v>54</v>
      </c>
      <c r="C42" s="3">
        <v>64896334.667254575</v>
      </c>
      <c r="D42" s="3"/>
      <c r="E42" s="3"/>
      <c r="F42" s="3" t="s">
        <v>42</v>
      </c>
      <c r="G42" s="7" t="s">
        <v>24</v>
      </c>
      <c r="I42">
        <v>75650.299647860724</v>
      </c>
    </row>
    <row r="43" spans="1:9" x14ac:dyDescent="0.3">
      <c r="A43" s="3" t="s">
        <v>104</v>
      </c>
      <c r="B43" s="3" t="s">
        <v>105</v>
      </c>
      <c r="C43" s="3">
        <f>C47+C58+(1-C26)/C26*C44*32011.571*0</f>
        <v>6286955680.8871927</v>
      </c>
      <c r="D43" s="3"/>
      <c r="E43" s="3"/>
      <c r="F43" s="3" t="s">
        <v>42</v>
      </c>
      <c r="G43" s="7" t="s">
        <v>24</v>
      </c>
      <c r="I43">
        <v>6135411.4443515055</v>
      </c>
    </row>
    <row r="44" spans="1:9" x14ac:dyDescent="0.3">
      <c r="A44" s="3" t="s">
        <v>102</v>
      </c>
      <c r="B44" s="3" t="s">
        <v>141</v>
      </c>
      <c r="C44" s="3">
        <f>C42*C25/100</f>
        <v>767703.13586933014</v>
      </c>
      <c r="D44" s="3"/>
      <c r="E44" s="3"/>
      <c r="F44" s="3" t="s">
        <v>21</v>
      </c>
      <c r="G44" s="7" t="s">
        <v>24</v>
      </c>
      <c r="I44">
        <v>440.16666666666663</v>
      </c>
    </row>
    <row r="45" spans="1:9" x14ac:dyDescent="0.3">
      <c r="A45" s="3" t="s">
        <v>103</v>
      </c>
      <c r="B45" s="3" t="s">
        <v>107</v>
      </c>
      <c r="C45" s="3">
        <f>C43/C44/1000</f>
        <v>8.1893057187632596</v>
      </c>
      <c r="D45" s="3"/>
      <c r="E45" s="3"/>
      <c r="F45" s="3" t="s">
        <v>21</v>
      </c>
      <c r="G45" s="7" t="s">
        <v>24</v>
      </c>
      <c r="I45">
        <v>81.102275508633838</v>
      </c>
    </row>
    <row r="46" spans="1:9" x14ac:dyDescent="0.3">
      <c r="A46" s="3" t="s">
        <v>106</v>
      </c>
      <c r="B46" s="3"/>
      <c r="C46" s="3">
        <f>C42/(C27)</f>
        <v>335689.99999999994</v>
      </c>
      <c r="D46" s="3"/>
      <c r="E46" s="3"/>
      <c r="F46" s="3" t="s">
        <v>21</v>
      </c>
      <c r="G46" s="7" t="s">
        <v>24</v>
      </c>
      <c r="I46">
        <v>2641</v>
      </c>
    </row>
    <row r="47" spans="1:9" x14ac:dyDescent="0.3">
      <c r="A47" s="3" t="s">
        <v>139</v>
      </c>
      <c r="B47" s="3" t="s">
        <v>105</v>
      </c>
      <c r="C47" s="3">
        <v>1019407746.9284</v>
      </c>
      <c r="D47" s="3"/>
      <c r="E47" s="3"/>
      <c r="F47" s="3" t="s">
        <v>42</v>
      </c>
      <c r="G47" s="7" t="s">
        <v>24</v>
      </c>
      <c r="I47">
        <v>0.17813976746926247</v>
      </c>
    </row>
    <row r="48" spans="1:9" x14ac:dyDescent="0.3">
      <c r="A48" s="3" t="s">
        <v>126</v>
      </c>
      <c r="B48" s="3" t="s">
        <v>122</v>
      </c>
      <c r="C48" s="3">
        <v>2</v>
      </c>
      <c r="D48" s="3"/>
      <c r="E48" s="3"/>
      <c r="F48" s="8" t="s">
        <v>19</v>
      </c>
      <c r="G48" s="7"/>
    </row>
    <row r="49" spans="1:10" x14ac:dyDescent="0.3">
      <c r="A49" s="3" t="s">
        <v>127</v>
      </c>
      <c r="B49" s="3"/>
      <c r="C49" s="3">
        <v>4</v>
      </c>
      <c r="D49" s="3"/>
      <c r="E49" s="3"/>
      <c r="F49" s="8" t="s">
        <v>19</v>
      </c>
      <c r="G49" s="7"/>
    </row>
    <row r="50" spans="1:10" x14ac:dyDescent="0.3">
      <c r="A50" s="3" t="s">
        <v>137</v>
      </c>
      <c r="B50" s="3"/>
      <c r="C50" s="3">
        <f t="shared" ref="C50:C55" si="2">$C$49</f>
        <v>4</v>
      </c>
      <c r="D50" s="3" t="s">
        <v>132</v>
      </c>
      <c r="E50" s="3" t="s">
        <v>149</v>
      </c>
      <c r="F50" s="3" t="s">
        <v>128</v>
      </c>
      <c r="G50" s="3"/>
    </row>
    <row r="51" spans="1:10" x14ac:dyDescent="0.3">
      <c r="A51" s="3" t="s">
        <v>137</v>
      </c>
      <c r="B51" s="3"/>
      <c r="C51" s="3">
        <f t="shared" si="2"/>
        <v>4</v>
      </c>
      <c r="D51" s="3" t="s">
        <v>133</v>
      </c>
      <c r="E51" s="3" t="s">
        <v>149</v>
      </c>
      <c r="F51" s="3" t="s">
        <v>128</v>
      </c>
      <c r="G51" s="3"/>
    </row>
    <row r="52" spans="1:10" x14ac:dyDescent="0.3">
      <c r="A52" s="3" t="s">
        <v>137</v>
      </c>
      <c r="B52" s="3"/>
      <c r="C52" s="3">
        <f t="shared" si="2"/>
        <v>4</v>
      </c>
      <c r="D52" s="3" t="s">
        <v>129</v>
      </c>
      <c r="E52" s="3" t="s">
        <v>149</v>
      </c>
      <c r="F52" s="3" t="s">
        <v>128</v>
      </c>
      <c r="G52" s="3"/>
    </row>
    <row r="53" spans="1:10" x14ac:dyDescent="0.3">
      <c r="A53" s="3" t="s">
        <v>137</v>
      </c>
      <c r="B53" s="3"/>
      <c r="C53" s="3">
        <f t="shared" si="2"/>
        <v>4</v>
      </c>
      <c r="D53" s="3" t="s">
        <v>130</v>
      </c>
      <c r="E53" s="3" t="s">
        <v>149</v>
      </c>
      <c r="F53" s="3" t="s">
        <v>128</v>
      </c>
      <c r="G53" s="3"/>
    </row>
    <row r="54" spans="1:10" x14ac:dyDescent="0.3">
      <c r="A54" s="3" t="s">
        <v>137</v>
      </c>
      <c r="B54" s="3"/>
      <c r="C54" s="3">
        <f t="shared" si="2"/>
        <v>4</v>
      </c>
      <c r="D54" s="3" t="s">
        <v>131</v>
      </c>
      <c r="E54" s="3" t="s">
        <v>149</v>
      </c>
      <c r="F54" s="3" t="s">
        <v>128</v>
      </c>
      <c r="G54" s="3"/>
    </row>
    <row r="55" spans="1:10" x14ac:dyDescent="0.3">
      <c r="A55" s="3" t="s">
        <v>138</v>
      </c>
      <c r="B55" s="3"/>
      <c r="C55" s="3">
        <f t="shared" si="2"/>
        <v>4</v>
      </c>
      <c r="D55" s="3" t="s">
        <v>135</v>
      </c>
      <c r="E55" s="3" t="s">
        <v>134</v>
      </c>
      <c r="F55" s="3" t="s">
        <v>136</v>
      </c>
      <c r="G55" s="3"/>
    </row>
    <row r="56" spans="1:10" x14ac:dyDescent="0.3">
      <c r="A56" s="3" t="s">
        <v>142</v>
      </c>
      <c r="B56" t="s">
        <v>143</v>
      </c>
      <c r="C56">
        <f>C47/2.72/C44/1000</f>
        <v>0.4881864387277145</v>
      </c>
      <c r="F56" s="3" t="s">
        <v>21</v>
      </c>
      <c r="G56" s="7" t="s">
        <v>24</v>
      </c>
    </row>
    <row r="57" spans="1:10" x14ac:dyDescent="0.3">
      <c r="A57" s="19" t="s">
        <v>147</v>
      </c>
      <c r="C57">
        <v>0.05</v>
      </c>
      <c r="D57" s="3" t="s">
        <v>1</v>
      </c>
      <c r="E57" s="28" t="s">
        <v>37</v>
      </c>
      <c r="F57" t="s">
        <v>96</v>
      </c>
    </row>
    <row r="58" spans="1:10" x14ac:dyDescent="0.3">
      <c r="A58" s="3" t="s">
        <v>148</v>
      </c>
      <c r="B58" s="3" t="s">
        <v>105</v>
      </c>
      <c r="C58" s="3">
        <v>5267547933.9587927</v>
      </c>
      <c r="D58" s="3"/>
      <c r="E58" s="3"/>
      <c r="F58" s="3" t="s">
        <v>42</v>
      </c>
      <c r="G58" s="7" t="s">
        <v>24</v>
      </c>
    </row>
    <row r="59" spans="1:10" x14ac:dyDescent="0.3">
      <c r="A59" s="19" t="s">
        <v>151</v>
      </c>
      <c r="C59">
        <v>6</v>
      </c>
      <c r="F59" s="8" t="s">
        <v>19</v>
      </c>
      <c r="G59" s="2" t="s">
        <v>40</v>
      </c>
    </row>
    <row r="60" spans="1:10" x14ac:dyDescent="0.3">
      <c r="A60" t="s">
        <v>150</v>
      </c>
      <c r="C60">
        <f>IF(C59*C49/C29&lt;80,C59*C49/C29,80)</f>
        <v>24</v>
      </c>
      <c r="D60" t="s">
        <v>46</v>
      </c>
      <c r="E60" t="s">
        <v>153</v>
      </c>
      <c r="F60" s="3" t="s">
        <v>152</v>
      </c>
      <c r="G60" s="2" t="s">
        <v>23</v>
      </c>
    </row>
    <row r="61" spans="1:10" ht="40.200000000000003" thickBot="1" x14ac:dyDescent="0.35">
      <c r="A61" s="16" t="s">
        <v>62</v>
      </c>
      <c r="B61" s="17" t="s">
        <v>63</v>
      </c>
      <c r="C61" s="17" t="s">
        <v>64</v>
      </c>
      <c r="D61" s="18" t="s">
        <v>65</v>
      </c>
      <c r="E61" s="18" t="s">
        <v>101</v>
      </c>
    </row>
    <row r="62" spans="1:10" ht="15" thickBot="1" x14ac:dyDescent="0.35">
      <c r="A62" s="12" t="s">
        <v>66</v>
      </c>
      <c r="B62" s="11" t="s">
        <v>67</v>
      </c>
      <c r="C62" s="11" t="s">
        <v>68</v>
      </c>
      <c r="D62" s="11" t="s">
        <v>69</v>
      </c>
      <c r="E62" s="11">
        <f>I62*10/J62*60</f>
        <v>6</v>
      </c>
      <c r="I62">
        <v>3</v>
      </c>
      <c r="J62">
        <v>300</v>
      </c>
    </row>
    <row r="63" spans="1:10" ht="15" thickBot="1" x14ac:dyDescent="0.35">
      <c r="A63" s="12" t="s">
        <v>70</v>
      </c>
      <c r="B63" s="11" t="s">
        <v>67</v>
      </c>
      <c r="C63" s="11" t="s">
        <v>68</v>
      </c>
      <c r="D63" s="11" t="s">
        <v>69</v>
      </c>
      <c r="E63" s="11">
        <f>I63*10/J63*60</f>
        <v>6</v>
      </c>
      <c r="I63">
        <v>3</v>
      </c>
      <c r="J63">
        <v>300</v>
      </c>
    </row>
    <row r="64" spans="1:10" ht="15" thickBot="1" x14ac:dyDescent="0.35">
      <c r="A64" s="10" t="s">
        <v>71</v>
      </c>
      <c r="B64" s="11" t="s">
        <v>72</v>
      </c>
      <c r="C64" s="11" t="s">
        <v>72</v>
      </c>
      <c r="D64" s="11" t="s">
        <v>73</v>
      </c>
      <c r="E64" s="11"/>
    </row>
    <row r="65" spans="1:11" ht="15" thickBot="1" x14ac:dyDescent="0.35">
      <c r="A65" s="13" t="s">
        <v>74</v>
      </c>
      <c r="B65" s="11" t="s">
        <v>75</v>
      </c>
      <c r="C65" s="11" t="s">
        <v>68</v>
      </c>
      <c r="D65" s="11" t="s">
        <v>73</v>
      </c>
      <c r="E65" s="11">
        <f t="shared" ref="E65:E73" si="3">I65*10/J65*60</f>
        <v>4</v>
      </c>
      <c r="I65">
        <v>2</v>
      </c>
      <c r="J65">
        <v>300</v>
      </c>
      <c r="K65">
        <f>(J65*I65+J66*I66+J67*I67)/(I65+I66+I67)</f>
        <v>225</v>
      </c>
    </row>
    <row r="66" spans="1:11" ht="15" thickBot="1" x14ac:dyDescent="0.35">
      <c r="A66" s="13" t="s">
        <v>76</v>
      </c>
      <c r="B66" s="11" t="s">
        <v>77</v>
      </c>
      <c r="C66" s="11" t="s">
        <v>78</v>
      </c>
      <c r="D66" s="11" t="s">
        <v>73</v>
      </c>
      <c r="E66" s="11">
        <f>I66*10/J66*60</f>
        <v>20</v>
      </c>
      <c r="I66">
        <v>5</v>
      </c>
      <c r="J66">
        <v>150</v>
      </c>
    </row>
    <row r="67" spans="1:11" ht="15" thickBot="1" x14ac:dyDescent="0.35">
      <c r="A67" s="13" t="s">
        <v>79</v>
      </c>
      <c r="B67" s="11" t="s">
        <v>67</v>
      </c>
      <c r="C67" s="11" t="s">
        <v>68</v>
      </c>
      <c r="D67" s="11" t="s">
        <v>73</v>
      </c>
      <c r="E67" s="11">
        <f t="shared" si="3"/>
        <v>6</v>
      </c>
      <c r="I67">
        <v>3</v>
      </c>
      <c r="J67">
        <v>300</v>
      </c>
    </row>
    <row r="68" spans="1:11" ht="15" thickBot="1" x14ac:dyDescent="0.35">
      <c r="A68" s="10" t="s">
        <v>80</v>
      </c>
      <c r="B68" s="11" t="s">
        <v>81</v>
      </c>
      <c r="C68" s="11" t="s">
        <v>78</v>
      </c>
      <c r="D68" s="11" t="s">
        <v>73</v>
      </c>
      <c r="E68" s="11">
        <f t="shared" si="3"/>
        <v>20</v>
      </c>
      <c r="I68">
        <v>5</v>
      </c>
      <c r="J68">
        <v>150</v>
      </c>
    </row>
    <row r="69" spans="1:11" ht="15" thickBot="1" x14ac:dyDescent="0.35">
      <c r="A69" s="14" t="s">
        <v>82</v>
      </c>
      <c r="B69" s="11" t="s">
        <v>67</v>
      </c>
      <c r="C69" s="11" t="s">
        <v>68</v>
      </c>
      <c r="D69" s="11" t="s">
        <v>73</v>
      </c>
      <c r="E69" s="11">
        <f t="shared" si="3"/>
        <v>6</v>
      </c>
      <c r="I69">
        <v>3</v>
      </c>
      <c r="J69">
        <v>300</v>
      </c>
    </row>
    <row r="70" spans="1:11" ht="15" thickBot="1" x14ac:dyDescent="0.35">
      <c r="A70" s="14" t="s">
        <v>83</v>
      </c>
      <c r="B70" s="11" t="s">
        <v>67</v>
      </c>
      <c r="C70" s="11" t="s">
        <v>68</v>
      </c>
      <c r="D70" s="11" t="s">
        <v>84</v>
      </c>
      <c r="E70" s="11">
        <f t="shared" si="3"/>
        <v>8</v>
      </c>
      <c r="I70">
        <v>4</v>
      </c>
      <c r="J70">
        <v>300</v>
      </c>
    </row>
    <row r="71" spans="1:11" ht="15" thickBot="1" x14ac:dyDescent="0.35">
      <c r="A71" s="15" t="s">
        <v>85</v>
      </c>
      <c r="B71" s="11" t="s">
        <v>67</v>
      </c>
      <c r="C71" s="11" t="s">
        <v>68</v>
      </c>
      <c r="D71" s="11" t="s">
        <v>69</v>
      </c>
      <c r="E71" s="11">
        <f t="shared" si="3"/>
        <v>6</v>
      </c>
      <c r="I71">
        <v>3</v>
      </c>
      <c r="J71">
        <v>300</v>
      </c>
    </row>
    <row r="72" spans="1:11" ht="15" thickBot="1" x14ac:dyDescent="0.35">
      <c r="A72" s="15" t="s">
        <v>86</v>
      </c>
      <c r="B72" s="11" t="s">
        <v>67</v>
      </c>
      <c r="C72" s="11" t="s">
        <v>68</v>
      </c>
      <c r="D72" s="11" t="s">
        <v>69</v>
      </c>
      <c r="E72" s="11">
        <f t="shared" si="3"/>
        <v>6</v>
      </c>
      <c r="I72">
        <v>3</v>
      </c>
      <c r="J72">
        <v>300</v>
      </c>
    </row>
    <row r="73" spans="1:11" ht="15" thickBot="1" x14ac:dyDescent="0.35">
      <c r="A73" s="15" t="s">
        <v>87</v>
      </c>
      <c r="B73" s="11" t="s">
        <v>67</v>
      </c>
      <c r="C73" s="11" t="s">
        <v>68</v>
      </c>
      <c r="D73" s="11" t="s">
        <v>69</v>
      </c>
      <c r="E73" s="11">
        <f t="shared" si="3"/>
        <v>6</v>
      </c>
      <c r="I73">
        <v>3</v>
      </c>
      <c r="J73">
        <v>300</v>
      </c>
    </row>
    <row r="74" spans="1:11" ht="15" thickBot="1" x14ac:dyDescent="0.35">
      <c r="D74" s="11" t="s">
        <v>100</v>
      </c>
      <c r="E74" s="20">
        <f>SUM(E62:E73)</f>
        <v>94</v>
      </c>
    </row>
    <row r="75" spans="1:11" x14ac:dyDescent="0.3">
      <c r="E75" s="27">
        <f>E74*2/60</f>
        <v>3.1333333333333333</v>
      </c>
    </row>
    <row r="80" spans="1:11" x14ac:dyDescent="0.3">
      <c r="A80" s="5" t="s">
        <v>15</v>
      </c>
      <c r="B80" s="24" t="s">
        <v>28</v>
      </c>
      <c r="C80" s="24" t="s">
        <v>17</v>
      </c>
      <c r="D80" s="24" t="s">
        <v>109</v>
      </c>
    </row>
    <row r="81" spans="1:4" x14ac:dyDescent="0.3">
      <c r="A81" s="3" t="s">
        <v>3</v>
      </c>
      <c r="B81" s="25" t="s">
        <v>110</v>
      </c>
      <c r="C81" s="25" t="s">
        <v>111</v>
      </c>
      <c r="D81" s="25" t="s">
        <v>112</v>
      </c>
    </row>
    <row r="82" spans="1:4" x14ac:dyDescent="0.3">
      <c r="A82" s="3" t="s">
        <v>5</v>
      </c>
      <c r="B82" s="25" t="s">
        <v>113</v>
      </c>
      <c r="C82" s="25">
        <v>20</v>
      </c>
      <c r="D82" s="26" t="s">
        <v>121</v>
      </c>
    </row>
    <row r="83" spans="1:4" x14ac:dyDescent="0.3">
      <c r="A83" s="3" t="s">
        <v>4</v>
      </c>
      <c r="B83" s="25" t="s">
        <v>113</v>
      </c>
      <c r="C83" s="25" t="s">
        <v>114</v>
      </c>
      <c r="D83" s="25" t="s">
        <v>31</v>
      </c>
    </row>
    <row r="84" spans="1:4" x14ac:dyDescent="0.3">
      <c r="A84" s="3" t="s">
        <v>115</v>
      </c>
      <c r="B84" s="25" t="s">
        <v>29</v>
      </c>
      <c r="C84" s="25" t="s">
        <v>31</v>
      </c>
      <c r="D84" s="25" t="s">
        <v>118</v>
      </c>
    </row>
    <row r="85" spans="1:4" x14ac:dyDescent="0.3">
      <c r="A85" s="3" t="s">
        <v>117</v>
      </c>
      <c r="B85" s="25" t="s">
        <v>29</v>
      </c>
      <c r="C85" s="25" t="s">
        <v>116</v>
      </c>
      <c r="D85" s="25" t="s">
        <v>31</v>
      </c>
    </row>
    <row r="86" spans="1:4" x14ac:dyDescent="0.3">
      <c r="A86" s="3" t="s">
        <v>60</v>
      </c>
      <c r="B86" s="25" t="s">
        <v>32</v>
      </c>
      <c r="C86" s="25">
        <v>0.3</v>
      </c>
      <c r="D86" s="25" t="s">
        <v>120</v>
      </c>
    </row>
    <row r="87" spans="1:4" x14ac:dyDescent="0.3">
      <c r="A87" s="3" t="s">
        <v>61</v>
      </c>
      <c r="B87" s="25" t="s">
        <v>32</v>
      </c>
      <c r="C87" s="25">
        <v>1</v>
      </c>
      <c r="D87" s="25" t="s">
        <v>119</v>
      </c>
    </row>
  </sheetData>
  <autoFilter ref="A2:G47" xr:uid="{63F5A16E-78BF-424B-A499-F5BB7629647E}"/>
  <mergeCells count="1">
    <mergeCell ref="N10:O10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OpenSPDFile">
                <anchor moveWithCells="1" sizeWithCells="1">
                  <from>
                    <xdr:col>8</xdr:col>
                    <xdr:colOff>0</xdr:colOff>
                    <xdr:row>4</xdr:row>
                    <xdr:rowOff>15240</xdr:rowOff>
                  </from>
                  <to>
                    <xdr:col>10</xdr:col>
                    <xdr:colOff>15240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hisWorkbook.CloseSPDFile">
                <anchor moveWithCells="1" sizeWithCells="1">
                  <from>
                    <xdr:col>8</xdr:col>
                    <xdr:colOff>15240</xdr:colOff>
                    <xdr:row>6</xdr:row>
                    <xdr:rowOff>167640</xdr:rowOff>
                  </from>
                  <to>
                    <xdr:col>10</xdr:col>
                    <xdr:colOff>30480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hisWorkbook.SetAll">
                <anchor moveWithCells="1" siz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10</xdr:col>
                    <xdr:colOff>15240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hisWorkbook.DoMEBalance">
                <anchor moveWithCells="1" sizeWithCells="1">
                  <from>
                    <xdr:col>8</xdr:col>
                    <xdr:colOff>0</xdr:colOff>
                    <xdr:row>13</xdr:row>
                    <xdr:rowOff>7620</xdr:rowOff>
                  </from>
                  <to>
                    <xdr:col>10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ThisWorkbook.DoEconomicCalc">
                <anchor moveWithCells="1" sizeWithCells="1">
                  <from>
                    <xdr:col>8</xdr:col>
                    <xdr:colOff>7620</xdr:colOff>
                    <xdr:row>16</xdr:row>
                    <xdr:rowOff>7620</xdr:rowOff>
                  </from>
                  <to>
                    <xdr:col>9</xdr:col>
                    <xdr:colOff>586740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ThisWorkbook.GetAll">
                <anchor moveWithCells="1" sizeWithCells="1">
                  <from>
                    <xdr:col>8</xdr:col>
                    <xdr:colOff>7620</xdr:colOff>
                    <xdr:row>19</xdr:row>
                    <xdr:rowOff>0</xdr:rowOff>
                  </from>
                  <to>
                    <xdr:col>9</xdr:col>
                    <xdr:colOff>601980</xdr:colOff>
                    <xdr:row>20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Multiple 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Jose Romero</dc:creator>
  <cp:lastModifiedBy>Juan Jose Romero</cp:lastModifiedBy>
  <dcterms:created xsi:type="dcterms:W3CDTF">2020-03-03T20:07:06Z</dcterms:created>
  <dcterms:modified xsi:type="dcterms:W3CDTF">2023-03-08T14:21:27Z</dcterms:modified>
</cp:coreProperties>
</file>